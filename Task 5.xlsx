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39174bed6bc94522/Desktop/"/>
    </mc:Choice>
  </mc:AlternateContent>
  <xr:revisionPtr revIDLastSave="0" documentId="8_{937B4EF2-A7AD-4F53-90B8-2C06626C3B68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4" i="1" l="1"/>
  <c r="O14" i="1"/>
  <c r="N14" i="1"/>
  <c r="M14" i="1"/>
  <c r="L14" i="1"/>
  <c r="K14" i="1"/>
  <c r="J14" i="1"/>
  <c r="I14" i="1"/>
  <c r="H14" i="1"/>
  <c r="G14" i="1"/>
</calcChain>
</file>

<file path=xl/sharedStrings.xml><?xml version="1.0" encoding="utf-8"?>
<sst xmlns="http://schemas.openxmlformats.org/spreadsheetml/2006/main" count="46" uniqueCount="41">
  <si>
    <t>Employee ID</t>
  </si>
  <si>
    <t>Name</t>
  </si>
  <si>
    <t>Department</t>
  </si>
  <si>
    <t>Salary</t>
  </si>
  <si>
    <t>Start Date</t>
  </si>
  <si>
    <t>Product ID</t>
  </si>
  <si>
    <t>Product Name</t>
  </si>
  <si>
    <t>Category</t>
  </si>
  <si>
    <t>Price</t>
  </si>
  <si>
    <t>Alice Johnson</t>
  </si>
  <si>
    <t>Sales</t>
  </si>
  <si>
    <t>2020-01-15</t>
  </si>
  <si>
    <t>Laptop</t>
  </si>
  <si>
    <t>Electronics</t>
  </si>
  <si>
    <t>Bob Smith</t>
  </si>
  <si>
    <t>Marketing</t>
  </si>
  <si>
    <t>2019-06-20</t>
  </si>
  <si>
    <t>Mouse</t>
  </si>
  <si>
    <t>Carol White</t>
  </si>
  <si>
    <t>IT</t>
  </si>
  <si>
    <t>2018-03-10</t>
  </si>
  <si>
    <t>Desk Chair</t>
  </si>
  <si>
    <t>Furniture</t>
  </si>
  <si>
    <t>David Brown</t>
  </si>
  <si>
    <t>2021-07-05</t>
  </si>
  <si>
    <t>Monitor</t>
  </si>
  <si>
    <t>Emma Davis</t>
  </si>
  <si>
    <t>HR</t>
  </si>
  <si>
    <t>2020-11-12</t>
  </si>
  <si>
    <t>Order ID</t>
  </si>
  <si>
    <t>Quantity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</si>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</sst>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charset val="1"/>
    </font>
    <font>
      <b/>
      <sz val="11"/>
      <color rgb="FFFFFFFF"/>
      <name val="Cambria"/>
      <charset val="1"/>
    </font>
    <font>
      <b/>
      <sz val="11"/>
      <color rgb="FF000000"/>
      <name val="Cambria"/>
      <charset val="1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70AD47"/>
        <bgColor rgb="FF339966"/>
      </patternFill>
    </fill>
    <fill>
      <patternFill patternType="solid">
        <fgColor rgb="FFFFC000"/>
        <bgColor rgb="FFFF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4" borderId="0" xfId="0" applyFont="1" applyFill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4B084"/>
      <rgbColor rgb="004472C4"/>
      <rgbColor rgb="0033CCCC"/>
      <rgbColor rgb="0099CC00"/>
      <rgbColor rgb="00FFC000"/>
      <rgbColor rgb="00FF9900"/>
      <rgbColor rgb="00FF6600"/>
      <rgbColor rgb="00666699"/>
      <rgbColor rgb="0070AD47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8"/>
  <sheetViews>
    <sheetView tabSelected="1" workbookViewId="0">
      <selection activeCell="P14" sqref="P14"/>
    </sheetView>
  </sheetViews>
  <sheetFormatPr defaultColWidth="8.6640625" defaultRowHeight="14.4" x14ac:dyDescent="0.3"/>
  <cols>
    <col min="1" max="1" width="15" customWidth="1"/>
    <col min="2" max="2" width="18" customWidth="1"/>
    <col min="3" max="3" width="15" customWidth="1"/>
    <col min="4" max="4" width="12" customWidth="1"/>
    <col min="5" max="5" width="15" customWidth="1"/>
    <col min="7" max="7" width="15" customWidth="1"/>
    <col min="8" max="8" width="15.21875" customWidth="1"/>
    <col min="9" max="9" width="12.21875" customWidth="1"/>
    <col min="10" max="10" width="10.88671875" customWidth="1"/>
    <col min="11" max="11" width="11.109375" customWidth="1"/>
    <col min="12" max="12" width="7.88671875" customWidth="1"/>
    <col min="15" max="15" width="11.33203125" customWidth="1"/>
  </cols>
  <sheetData>
    <row r="1" spans="1:16" ht="1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6" ht="15" customHeight="1" x14ac:dyDescent="0.3">
      <c r="A2">
        <v>101</v>
      </c>
      <c r="B2" t="s">
        <v>9</v>
      </c>
      <c r="C2" t="s">
        <v>10</v>
      </c>
      <c r="D2">
        <v>65000</v>
      </c>
      <c r="E2" t="s">
        <v>11</v>
      </c>
      <c r="G2">
        <v>201</v>
      </c>
      <c r="H2" t="s">
        <v>12</v>
      </c>
      <c r="I2" t="s">
        <v>13</v>
      </c>
      <c r="J2">
        <v>1200</v>
      </c>
    </row>
    <row r="3" spans="1:16" ht="15" customHeight="1" x14ac:dyDescent="0.3">
      <c r="A3">
        <v>102</v>
      </c>
      <c r="B3" t="s">
        <v>14</v>
      </c>
      <c r="C3" t="s">
        <v>15</v>
      </c>
      <c r="D3">
        <v>55000</v>
      </c>
      <c r="E3" t="s">
        <v>16</v>
      </c>
      <c r="G3">
        <v>202</v>
      </c>
      <c r="H3" t="s">
        <v>17</v>
      </c>
      <c r="I3" t="s">
        <v>13</v>
      </c>
      <c r="J3">
        <v>25</v>
      </c>
    </row>
    <row r="4" spans="1:16" ht="15" customHeight="1" x14ac:dyDescent="0.3">
      <c r="A4">
        <v>103</v>
      </c>
      <c r="B4" t="s">
        <v>18</v>
      </c>
      <c r="C4" t="s">
        <v>19</v>
      </c>
      <c r="D4">
        <v>75000</v>
      </c>
      <c r="E4" t="s">
        <v>20</v>
      </c>
      <c r="G4">
        <v>203</v>
      </c>
      <c r="H4" t="s">
        <v>21</v>
      </c>
      <c r="I4" t="s">
        <v>22</v>
      </c>
      <c r="J4">
        <v>350</v>
      </c>
    </row>
    <row r="5" spans="1:16" ht="15" customHeight="1" x14ac:dyDescent="0.3">
      <c r="A5">
        <v>104</v>
      </c>
      <c r="B5" t="s">
        <v>23</v>
      </c>
      <c r="C5" t="s">
        <v>10</v>
      </c>
      <c r="D5">
        <v>60000</v>
      </c>
      <c r="E5" t="s">
        <v>24</v>
      </c>
      <c r="G5">
        <v>204</v>
      </c>
      <c r="H5" t="s">
        <v>25</v>
      </c>
      <c r="I5" t="s">
        <v>13</v>
      </c>
      <c r="J5">
        <v>400</v>
      </c>
    </row>
    <row r="6" spans="1:16" ht="15" customHeight="1" x14ac:dyDescent="0.3">
      <c r="A6">
        <v>105</v>
      </c>
      <c r="B6" t="s">
        <v>26</v>
      </c>
      <c r="C6" t="s">
        <v>27</v>
      </c>
      <c r="D6">
        <v>58000</v>
      </c>
      <c r="E6" t="s">
        <v>28</v>
      </c>
    </row>
    <row r="12" spans="1:16" x14ac:dyDescent="0.3">
      <c r="G12" s="4" t="s">
        <v>31</v>
      </c>
      <c r="H12" s="4" t="s">
        <v>32</v>
      </c>
      <c r="I12" s="4" t="s">
        <v>33</v>
      </c>
      <c r="J12" s="4" t="s">
        <v>34</v>
      </c>
      <c r="K12" s="4" t="s">
        <v>35</v>
      </c>
      <c r="L12" s="4" t="s">
        <v>36</v>
      </c>
      <c r="M12" s="4" t="s">
        <v>37</v>
      </c>
      <c r="N12" s="4" t="s">
        <v>38</v>
      </c>
      <c r="O12" s="4" t="s">
        <v>39</v>
      </c>
      <c r="P12" s="4" t="s">
        <v>40</v>
      </c>
    </row>
    <row r="13" spans="1:16" ht="15" customHeight="1" x14ac:dyDescent="0.3">
      <c r="A13" s="3" t="s">
        <v>29</v>
      </c>
      <c r="B13" s="3" t="s">
        <v>0</v>
      </c>
      <c r="C13" s="3" t="s">
        <v>5</v>
      </c>
      <c r="D13" s="3" t="s">
        <v>30</v>
      </c>
      <c r="G13" s="4"/>
      <c r="H13" s="4"/>
      <c r="I13" s="4"/>
      <c r="J13" s="4"/>
      <c r="K13" s="4"/>
      <c r="L13" s="4"/>
      <c r="M13" s="4"/>
      <c r="N13" s="4"/>
      <c r="O13" s="4"/>
      <c r="P13" s="4"/>
    </row>
    <row r="14" spans="1:16" ht="15" customHeight="1" x14ac:dyDescent="0.3">
      <c r="A14">
        <v>1001</v>
      </c>
      <c r="B14">
        <v>101</v>
      </c>
      <c r="C14">
        <v>201</v>
      </c>
      <c r="D14">
        <v>2</v>
      </c>
      <c r="G14" t="str">
        <f>VLOOKUP(A4,A2:E6,2,)</f>
        <v>Carol White</v>
      </c>
      <c r="H14" t="str">
        <f>VLOOKUP(A3,A2:E6,3,FALSE)</f>
        <v>Marketing</v>
      </c>
      <c r="I14">
        <f>VLOOKUP(A6,A2:E6,4,FALSE)</f>
        <v>58000</v>
      </c>
      <c r="J14">
        <f>INDEX(J2:J5,MATCH("Monitor",H2:H5,0))</f>
        <v>400</v>
      </c>
      <c r="K14" t="str">
        <f>INDEX(I2:I5,MATCH("Laptop",H2:H5,0))</f>
        <v>Electronics</v>
      </c>
      <c r="L14">
        <f>MATCH("Mouse",H2:H5,0)</f>
        <v>2</v>
      </c>
      <c r="M14">
        <f>VLOOKUP(A3,A2:E6,4,FALSE)</f>
        <v>55000</v>
      </c>
      <c r="N14">
        <f>IFERROR(INDEX(D2:D6,MATCH(A2,A2:A6,0)),"NOT FOUND")</f>
        <v>65000</v>
      </c>
      <c r="O14" t="str">
        <f>VLOOKUP(A5,A2:E6,2,FALSE)</f>
        <v>David Brown</v>
      </c>
      <c r="P14" t="str">
        <f>INDEX(H2:H5,MATCH(G3,G2:G5,0))</f>
        <v>Mouse</v>
      </c>
    </row>
    <row r="15" spans="1:16" ht="15" customHeight="1" x14ac:dyDescent="0.3">
      <c r="A15">
        <v>1002</v>
      </c>
      <c r="B15">
        <v>102</v>
      </c>
      <c r="C15">
        <v>203</v>
      </c>
      <c r="D15">
        <v>1</v>
      </c>
    </row>
    <row r="16" spans="1:16" ht="15" customHeight="1" x14ac:dyDescent="0.3">
      <c r="A16">
        <v>1003</v>
      </c>
      <c r="B16">
        <v>103</v>
      </c>
      <c r="C16">
        <v>202</v>
      </c>
      <c r="D16">
        <v>5</v>
      </c>
    </row>
    <row r="17" spans="1:4" ht="15" customHeight="1" x14ac:dyDescent="0.3">
      <c r="A17">
        <v>1004</v>
      </c>
      <c r="B17">
        <v>101</v>
      </c>
      <c r="C17">
        <v>204</v>
      </c>
      <c r="D17">
        <v>1</v>
      </c>
    </row>
    <row r="18" spans="1:4" ht="15" customHeight="1" x14ac:dyDescent="0.3">
      <c r="A18">
        <v>1005</v>
      </c>
      <c r="B18">
        <v>104</v>
      </c>
      <c r="C18">
        <v>201</v>
      </c>
      <c r="D18">
        <v>1</v>
      </c>
    </row>
  </sheetData>
  <mergeCells count="10">
    <mergeCell ref="M12:M13"/>
    <mergeCell ref="N12:N13"/>
    <mergeCell ref="O12:O13"/>
    <mergeCell ref="P12:P13"/>
    <mergeCell ref="G12:G13"/>
    <mergeCell ref="H12:H13"/>
    <mergeCell ref="I12:I13"/>
    <mergeCell ref="J12:J13"/>
    <mergeCell ref="K12:K13"/>
    <mergeCell ref="L12:L1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Shrawani Raut</cp:lastModifiedBy>
  <cp:revision>0</cp:revision>
  <dcterms:created xsi:type="dcterms:W3CDTF">2026-09-26T09:03:00Z</dcterms:created>
  <dcterms:modified xsi:type="dcterms:W3CDTF">2026-10-28T07:56:56Z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EDF66A10F4F7489BB83B9220348A22F2_13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